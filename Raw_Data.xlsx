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tekt Work\Power BI\Vendor Project\"/>
    </mc:Choice>
  </mc:AlternateContent>
  <xr:revisionPtr revIDLastSave="0" documentId="13_ncr:1_{AE19B3E2-25F9-43B5-92C7-5C556735C61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Vendo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 a="1"/>
  <c r="M3" i="1" s="1"/>
  <c r="N3" i="1" s="1"/>
  <c r="M4" i="1" a="1"/>
  <c r="M4" i="1" s="1"/>
  <c r="N4" i="1" s="1"/>
  <c r="M5" i="1" a="1"/>
  <c r="M5" i="1"/>
  <c r="N5" i="1" s="1"/>
  <c r="M6" i="1" a="1"/>
  <c r="M6" i="1"/>
  <c r="N6" i="1" s="1"/>
  <c r="M7" i="1" a="1"/>
  <c r="M7" i="1"/>
  <c r="N7" i="1" s="1"/>
  <c r="M8" i="1" a="1"/>
  <c r="M8" i="1"/>
  <c r="N8" i="1" s="1"/>
  <c r="M9" i="1" a="1"/>
  <c r="M9" i="1" s="1"/>
  <c r="N9" i="1" s="1"/>
  <c r="M10" i="1" a="1"/>
  <c r="M10" i="1"/>
  <c r="N10" i="1" s="1"/>
  <c r="M11" i="1" a="1"/>
  <c r="M11" i="1" s="1"/>
  <c r="N11" i="1" s="1"/>
  <c r="M12" i="1" a="1"/>
  <c r="M12" i="1"/>
  <c r="N12" i="1" s="1"/>
  <c r="M13" i="1" a="1"/>
  <c r="M13" i="1" s="1"/>
  <c r="N13" i="1" s="1"/>
  <c r="M14" i="1" a="1"/>
  <c r="M14" i="1" s="1"/>
  <c r="N14" i="1" s="1"/>
  <c r="M15" i="1" a="1"/>
  <c r="M15" i="1" s="1"/>
  <c r="N15" i="1" s="1"/>
  <c r="M16" i="1" a="1"/>
  <c r="M16" i="1" s="1"/>
  <c r="N16" i="1" s="1"/>
  <c r="M17" i="1" a="1"/>
  <c r="M17" i="1" s="1"/>
  <c r="N17" i="1" s="1"/>
  <c r="M18" i="1" a="1"/>
  <c r="M18" i="1" s="1"/>
  <c r="N18" i="1" s="1"/>
  <c r="M19" i="1" a="1"/>
  <c r="M19" i="1" s="1"/>
  <c r="N19" i="1" s="1"/>
  <c r="M20" i="1" a="1"/>
  <c r="M20" i="1"/>
  <c r="N20" i="1" s="1"/>
  <c r="M21" i="1" a="1"/>
  <c r="M21" i="1"/>
  <c r="N21" i="1" s="1"/>
  <c r="M22" i="1" a="1"/>
  <c r="M22" i="1"/>
  <c r="N22" i="1" s="1"/>
  <c r="M23" i="1" a="1"/>
  <c r="M23" i="1"/>
  <c r="N23" i="1" s="1"/>
  <c r="M24" i="1" a="1"/>
  <c r="M24" i="1"/>
  <c r="N24" i="1" s="1"/>
  <c r="M25" i="1" a="1"/>
  <c r="M25" i="1"/>
  <c r="N25" i="1" s="1"/>
  <c r="M26" i="1" a="1"/>
  <c r="M26" i="1" s="1"/>
  <c r="N26" i="1" s="1"/>
  <c r="M27" i="1" a="1"/>
  <c r="M27" i="1" s="1"/>
  <c r="N27" i="1" s="1"/>
  <c r="M28" i="1" a="1"/>
  <c r="M28" i="1" s="1"/>
  <c r="N28" i="1" s="1"/>
  <c r="M29" i="1" a="1"/>
  <c r="M29" i="1" s="1"/>
  <c r="N29" i="1" s="1"/>
  <c r="M30" i="1" a="1"/>
  <c r="M30" i="1" s="1"/>
  <c r="N30" i="1" s="1"/>
  <c r="M31" i="1" a="1"/>
  <c r="M31" i="1" s="1"/>
  <c r="N31" i="1" s="1"/>
  <c r="M32" i="1" a="1"/>
  <c r="M32" i="1"/>
  <c r="N32" i="1" s="1"/>
  <c r="M33" i="1" a="1"/>
  <c r="M33" i="1"/>
  <c r="N33" i="1" s="1"/>
  <c r="M34" i="1" a="1"/>
  <c r="M34" i="1"/>
  <c r="N34" i="1" s="1"/>
  <c r="M35" i="1" a="1"/>
  <c r="M35" i="1"/>
  <c r="N35" i="1" s="1"/>
  <c r="M36" i="1" a="1"/>
  <c r="M36" i="1"/>
  <c r="N36" i="1" s="1"/>
  <c r="M37" i="1" a="1"/>
  <c r="M37" i="1"/>
  <c r="N37" i="1" s="1"/>
  <c r="M38" i="1" a="1"/>
  <c r="M38" i="1"/>
  <c r="N38" i="1" s="1"/>
  <c r="M39" i="1" a="1"/>
  <c r="M39" i="1"/>
  <c r="N39" i="1" s="1"/>
  <c r="M40" i="1" a="1"/>
  <c r="M40" i="1"/>
  <c r="N40" i="1" s="1"/>
  <c r="M41" i="1" a="1"/>
  <c r="M41" i="1" s="1"/>
  <c r="N41" i="1" s="1"/>
  <c r="M42" i="1" a="1"/>
  <c r="M42" i="1" s="1"/>
  <c r="N42" i="1" s="1"/>
  <c r="M43" i="1" a="1"/>
  <c r="M43" i="1" s="1"/>
  <c r="N43" i="1" s="1"/>
  <c r="M44" i="1" a="1"/>
  <c r="M44" i="1" s="1"/>
  <c r="N44" i="1" s="1"/>
  <c r="M45" i="1" a="1"/>
  <c r="M45" i="1"/>
  <c r="N45" i="1" s="1"/>
  <c r="M46" i="1" a="1"/>
  <c r="M46" i="1"/>
  <c r="N46" i="1" s="1"/>
  <c r="M47" i="1" a="1"/>
  <c r="M47" i="1"/>
  <c r="N47" i="1" s="1"/>
  <c r="M48" i="1" a="1"/>
  <c r="M48" i="1"/>
  <c r="N48" i="1" s="1"/>
  <c r="M49" i="1" a="1"/>
  <c r="M49" i="1"/>
  <c r="N49" i="1" s="1"/>
  <c r="M50" i="1" a="1"/>
  <c r="M50" i="1"/>
  <c r="N50" i="1" s="1"/>
  <c r="M51" i="1" a="1"/>
  <c r="M51" i="1"/>
  <c r="N51" i="1" s="1"/>
  <c r="M52" i="1" a="1"/>
  <c r="M52" i="1"/>
  <c r="N52" i="1" s="1"/>
  <c r="M53" i="1" a="1"/>
  <c r="M53" i="1"/>
  <c r="N53" i="1" s="1"/>
  <c r="M54" i="1" a="1"/>
  <c r="M54" i="1"/>
  <c r="N54" i="1" s="1"/>
  <c r="M55" i="1" a="1"/>
  <c r="M55" i="1"/>
  <c r="N55" i="1" s="1"/>
  <c r="M56" i="1" a="1"/>
  <c r="M56" i="1"/>
  <c r="N56" i="1" s="1"/>
  <c r="M57" i="1" a="1"/>
  <c r="M57" i="1"/>
  <c r="N57" i="1" s="1"/>
  <c r="M58" i="1" a="1"/>
  <c r="M58" i="1"/>
  <c r="N58" i="1" s="1"/>
  <c r="M59" i="1" a="1"/>
  <c r="M59" i="1"/>
  <c r="N59" i="1" s="1"/>
  <c r="M60" i="1" a="1"/>
  <c r="M60" i="1"/>
  <c r="N60" i="1" s="1"/>
  <c r="M61" i="1" a="1"/>
  <c r="M61" i="1"/>
  <c r="N61" i="1" s="1"/>
  <c r="M62" i="1" a="1"/>
  <c r="M62" i="1"/>
  <c r="N62" i="1" s="1"/>
  <c r="M63" i="1" a="1"/>
  <c r="M63" i="1"/>
  <c r="N63" i="1" s="1"/>
  <c r="M64" i="1" a="1"/>
  <c r="M64" i="1"/>
  <c r="N64" i="1" s="1"/>
  <c r="M65" i="1" a="1"/>
  <c r="M65" i="1"/>
  <c r="N65" i="1" s="1"/>
  <c r="M66" i="1" a="1"/>
  <c r="M66" i="1"/>
  <c r="N66" i="1" s="1"/>
  <c r="M67" i="1" a="1"/>
  <c r="M67" i="1" s="1"/>
  <c r="N67" i="1" s="1"/>
  <c r="M68" i="1" a="1"/>
  <c r="M68" i="1" s="1"/>
  <c r="N68" i="1" s="1"/>
  <c r="M2" i="1" a="1"/>
  <c r="M2" i="1" s="1"/>
  <c r="N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<sst xmlns="http://schemas.openxmlformats.org/spreadsheetml/2006/main" count="751" uniqueCount="84">
  <si>
    <t>Vendor_ID</t>
  </si>
  <si>
    <t>Company_Name</t>
  </si>
  <si>
    <t>Policy</t>
  </si>
  <si>
    <t>Certification</t>
  </si>
  <si>
    <t>Incident Mgmt</t>
  </si>
  <si>
    <t>Endpoint Control</t>
  </si>
  <si>
    <t>Network Security</t>
  </si>
  <si>
    <t>Security Tools</t>
  </si>
  <si>
    <t>Backup</t>
  </si>
  <si>
    <t>Info Handling</t>
  </si>
  <si>
    <t>Awareness</t>
  </si>
  <si>
    <t>Physical &amp; Asset</t>
  </si>
  <si>
    <t>Total Rating</t>
  </si>
  <si>
    <t>Risk Level</t>
  </si>
  <si>
    <t>NO</t>
  </si>
  <si>
    <t>PARTIAL</t>
  </si>
  <si>
    <t>YES</t>
  </si>
  <si>
    <t>Dominion Energy</t>
  </si>
  <si>
    <t>Southern Company</t>
  </si>
  <si>
    <t>Duke Energy</t>
  </si>
  <si>
    <t>NextEra Energy</t>
  </si>
  <si>
    <t>Schlumberger</t>
  </si>
  <si>
    <t>Halliburton</t>
  </si>
  <si>
    <t>Occidental Petroleum</t>
  </si>
  <si>
    <t>ConocoPhillips</t>
  </si>
  <si>
    <t>Chevron</t>
  </si>
  <si>
    <t>ExxonMobil</t>
  </si>
  <si>
    <t>Charles Schwab</t>
  </si>
  <si>
    <t>BlackRock</t>
  </si>
  <si>
    <t>Mastercard</t>
  </si>
  <si>
    <t>Visa</t>
  </si>
  <si>
    <t>American Express</t>
  </si>
  <si>
    <t>Morgan Stanley</t>
  </si>
  <si>
    <t>Goldman Sachs</t>
  </si>
  <si>
    <t>Wells Fargo</t>
  </si>
  <si>
    <t>Bank of America</t>
  </si>
  <si>
    <t>JPMorgan Chase</t>
  </si>
  <si>
    <t>General Electric</t>
  </si>
  <si>
    <t>3M</t>
  </si>
  <si>
    <t>Honeywell</t>
  </si>
  <si>
    <t>Deere &amp; Company</t>
  </si>
  <si>
    <t>Caterpillar</t>
  </si>
  <si>
    <t>Raytheon Technologies</t>
  </si>
  <si>
    <t>Lockheed Martin</t>
  </si>
  <si>
    <t>Boeing</t>
  </si>
  <si>
    <t>General Motors</t>
  </si>
  <si>
    <t>Ford Motor</t>
  </si>
  <si>
    <t>General Mills</t>
  </si>
  <si>
    <t>Mondelez International</t>
  </si>
  <si>
    <t>Estee Lauder</t>
  </si>
  <si>
    <t>Colgate-Palmolive</t>
  </si>
  <si>
    <t>Procter &amp; Gamble</t>
  </si>
  <si>
    <t>Nike</t>
  </si>
  <si>
    <t>PepsiCo</t>
  </si>
  <si>
    <t>Coca-Cola</t>
  </si>
  <si>
    <t>Starbucks</t>
  </si>
  <si>
    <t>McDonald's</t>
  </si>
  <si>
    <t>Dollar General</t>
  </si>
  <si>
    <t>CVS Health</t>
  </si>
  <si>
    <t>Walgreens Boots Alliance</t>
  </si>
  <si>
    <t>Best Buy</t>
  </si>
  <si>
    <t>Kroger</t>
  </si>
  <si>
    <t>Lowe's</t>
  </si>
  <si>
    <t>Home Depot</t>
  </si>
  <si>
    <t>Target</t>
  </si>
  <si>
    <t>Costco</t>
  </si>
  <si>
    <t>Walmart</t>
  </si>
  <si>
    <t>eBay</t>
  </si>
  <si>
    <t>PayPal</t>
  </si>
  <si>
    <t>Netflix</t>
  </si>
  <si>
    <t>Airbnb</t>
  </si>
  <si>
    <t>Uber</t>
  </si>
  <si>
    <t>AMD</t>
  </si>
  <si>
    <t>Qualcomm</t>
  </si>
  <si>
    <t>Cisco Systems</t>
  </si>
  <si>
    <t>Adobe</t>
  </si>
  <si>
    <t>Salesforce</t>
  </si>
  <si>
    <t>Oracle</t>
  </si>
  <si>
    <t>IBM</t>
  </si>
  <si>
    <t>Intel</t>
  </si>
  <si>
    <t>NVIDIA</t>
  </si>
  <si>
    <t>Tesla</t>
  </si>
  <si>
    <t>Meta Platforms</t>
  </si>
  <si>
    <t>Microsoft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</si>
</sst>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"/>
  <sheetViews>
    <sheetView tabSelected="1" workbookViewId="0">
      <selection activeCell="B68" sqref="B2:B68"/>
    </sheetView>
  </sheetViews>
  <sheetFormatPr defaultRowHeight="15"/>
  <cols>
    <col min="1" max="1" width="18" style="3" customWidth="1"/>
    <col min="2" max="2" width="49.42578125" style="4" customWidth="1"/>
    <col min="3" max="3" width="29" style="4" customWidth="1"/>
    <col min="4" max="4" width="25.7109375" style="4" customWidth="1"/>
    <col min="5" max="5" width="25.42578125" style="4" customWidth="1"/>
    <col min="6" max="6" width="25.7109375" style="4" customWidth="1"/>
    <col min="7" max="7" width="29" style="4" customWidth="1"/>
    <col min="8" max="8" width="27.42578125" style="4" customWidth="1"/>
    <col min="9" max="9" width="33.85546875" style="4" customWidth="1"/>
    <col min="10" max="10" width="29.7109375" style="4" customWidth="1"/>
    <col min="11" max="12" width="32.42578125" style="4" customWidth="1"/>
    <col min="13" max="14" width="39.5703125" style="8" customWidth="1"/>
    <col min="15" max="15" width="25" style="7" customWidth="1"/>
    <col min="16" max="16" width="21.42578125" customWidth="1"/>
    <col min="17" max="17" width="22.85546875" customWidth="1"/>
  </cols>
  <sheetData>
    <row r="1" spans="1:20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6" t="s">
        <v>12</v>
      </c>
      <c r="N1" s="6" t="s">
        <v>13</v>
      </c>
      <c r="O1" s="6"/>
      <c r="P1" s="1"/>
      <c r="Q1" s="1"/>
    </row>
    <row r="2" spans="1:20">
      <c r="A2" s="3">
        <v>1</v>
      </c>
      <c r="B2" s="3" t="s">
        <v>63</v>
      </c>
      <c r="C2" s="2" t="s">
        <v>14</v>
      </c>
      <c r="D2" s="2" t="s">
        <v>14</v>
      </c>
      <c r="E2" s="2" t="s">
        <v>14</v>
      </c>
      <c r="F2" s="2" t="s">
        <v>15</v>
      </c>
      <c r="G2" s="2" t="s">
        <v>15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  <c r="M2" s="5" cm="1">
        <f t="array" ref="M2">SUMPRODUCT((C2:L2="Yes")*2 + (C2:L2="Partial")*1 + (C2:L2="No")*0)</f>
        <v>2</v>
      </c>
      <c r="N2" s="5" t="str">
        <f>IF(M2&gt;=17,"Low Risk",IF(M2&gt;=11,"Medium Risk","High Risk"))</f>
        <v>High Risk</v>
      </c>
      <c r="O2" s="5"/>
      <c r="P2" s="5"/>
      <c r="Q2" s="5"/>
    </row>
    <row r="3" spans="1:20">
      <c r="A3" s="3">
        <v>2</v>
      </c>
      <c r="B3" s="3" t="s">
        <v>62</v>
      </c>
      <c r="C3" s="2" t="s">
        <v>16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15</v>
      </c>
      <c r="I3" s="2" t="s">
        <v>14</v>
      </c>
      <c r="J3" s="2" t="s">
        <v>14</v>
      </c>
      <c r="K3" s="2" t="s">
        <v>15</v>
      </c>
      <c r="L3" s="2" t="s">
        <v>14</v>
      </c>
      <c r="M3" s="5" cm="1">
        <f t="array" ref="M3">SUMPRODUCT((C3:L3="Yes")*2 + (C3:L3="Partial")*1 + (C3:L3="No")*0)</f>
        <v>4</v>
      </c>
      <c r="N3" s="5" t="str">
        <f t="shared" ref="N3:N66" si="0">IF(M3&gt;=17,"Low Risk",IF(M3&gt;=11,"Medium Risk","High Risk"))</f>
        <v>High Risk</v>
      </c>
      <c r="O3" s="5"/>
    </row>
    <row r="4" spans="1:20">
      <c r="A4" s="3">
        <v>3</v>
      </c>
      <c r="B4" s="3" t="s">
        <v>61</v>
      </c>
      <c r="C4" s="2" t="s">
        <v>14</v>
      </c>
      <c r="D4" s="2" t="s">
        <v>16</v>
      </c>
      <c r="E4" s="2" t="s">
        <v>14</v>
      </c>
      <c r="F4" s="2" t="s">
        <v>14</v>
      </c>
      <c r="G4" s="2" t="s">
        <v>16</v>
      </c>
      <c r="H4" s="2" t="s">
        <v>14</v>
      </c>
      <c r="I4" s="2" t="s">
        <v>14</v>
      </c>
      <c r="J4" s="2" t="s">
        <v>14</v>
      </c>
      <c r="K4" s="2" t="s">
        <v>14</v>
      </c>
      <c r="L4" s="2" t="s">
        <v>14</v>
      </c>
      <c r="M4" s="5" cm="1">
        <f t="array" ref="M4">SUMPRODUCT((C4:L4="Yes")*2 + (C4:L4="Partial")*1 + (C4:L4="No")*0)</f>
        <v>4</v>
      </c>
      <c r="N4" s="5" t="str">
        <f t="shared" si="0"/>
        <v>High Risk</v>
      </c>
      <c r="O4" s="5"/>
      <c r="Q4" s="1"/>
      <c r="R4" s="1"/>
      <c r="S4" s="1"/>
      <c r="T4" s="1"/>
    </row>
    <row r="5" spans="1:20">
      <c r="A5" s="3">
        <v>4</v>
      </c>
      <c r="B5" s="3" t="s">
        <v>60</v>
      </c>
      <c r="C5" s="2" t="s">
        <v>14</v>
      </c>
      <c r="D5" s="2" t="s">
        <v>14</v>
      </c>
      <c r="E5" s="2" t="s">
        <v>15</v>
      </c>
      <c r="F5" s="2" t="s">
        <v>14</v>
      </c>
      <c r="G5" s="2" t="s">
        <v>15</v>
      </c>
      <c r="H5" s="2" t="s">
        <v>14</v>
      </c>
      <c r="I5" s="2" t="s">
        <v>14</v>
      </c>
      <c r="J5" s="2" t="s">
        <v>16</v>
      </c>
      <c r="K5" s="2" t="s">
        <v>14</v>
      </c>
      <c r="L5" s="2" t="s">
        <v>14</v>
      </c>
      <c r="M5" s="5" cm="1">
        <f t="array" ref="M5">SUMPRODUCT((C5:L5="Yes")*2 + (C5:L5="Partial")*1 + (C5:L5="No")*0)</f>
        <v>4</v>
      </c>
      <c r="N5" s="5" t="str">
        <f t="shared" si="0"/>
        <v>High Risk</v>
      </c>
      <c r="O5" s="5"/>
    </row>
    <row r="6" spans="1:20">
      <c r="A6" s="3">
        <v>5</v>
      </c>
      <c r="B6" s="3" t="s">
        <v>59</v>
      </c>
      <c r="C6" s="2" t="s">
        <v>16</v>
      </c>
      <c r="D6" s="2" t="s">
        <v>15</v>
      </c>
      <c r="E6" s="2" t="s">
        <v>14</v>
      </c>
      <c r="F6" s="2" t="s">
        <v>15</v>
      </c>
      <c r="G6" s="2" t="s">
        <v>14</v>
      </c>
      <c r="H6" s="2" t="s">
        <v>14</v>
      </c>
      <c r="I6" s="2" t="s">
        <v>15</v>
      </c>
      <c r="J6" s="2" t="s">
        <v>14</v>
      </c>
      <c r="K6" s="2" t="s">
        <v>14</v>
      </c>
      <c r="L6" s="2" t="s">
        <v>14</v>
      </c>
      <c r="M6" s="5" cm="1">
        <f t="array" ref="M6">SUMPRODUCT((C6:L6="Yes")*2 + (C6:L6="Partial")*1 + (C6:L6="No")*0)</f>
        <v>5</v>
      </c>
      <c r="N6" s="5" t="str">
        <f t="shared" si="0"/>
        <v>High Risk</v>
      </c>
      <c r="O6" s="5"/>
    </row>
    <row r="7" spans="1:20">
      <c r="A7" s="3">
        <v>6</v>
      </c>
      <c r="B7" s="3" t="s">
        <v>58</v>
      </c>
      <c r="C7" s="2" t="s">
        <v>14</v>
      </c>
      <c r="D7" s="2" t="s">
        <v>14</v>
      </c>
      <c r="E7" s="2" t="s">
        <v>14</v>
      </c>
      <c r="F7" s="2" t="s">
        <v>16</v>
      </c>
      <c r="G7" s="2" t="s">
        <v>14</v>
      </c>
      <c r="H7" s="2" t="s">
        <v>16</v>
      </c>
      <c r="I7" s="2" t="s">
        <v>14</v>
      </c>
      <c r="J7" s="2" t="s">
        <v>15</v>
      </c>
      <c r="K7" s="2" t="s">
        <v>14</v>
      </c>
      <c r="L7" s="2" t="s">
        <v>15</v>
      </c>
      <c r="M7" s="5" cm="1">
        <f t="array" ref="M7">SUMPRODUCT((C7:L7="Yes")*2 + (C7:L7="Partial")*1 + (C7:L7="No")*0)</f>
        <v>6</v>
      </c>
      <c r="N7" s="5" t="str">
        <f t="shared" si="0"/>
        <v>High Risk</v>
      </c>
      <c r="O7" s="5"/>
    </row>
    <row r="8" spans="1:20">
      <c r="A8" s="3">
        <v>7</v>
      </c>
      <c r="B8" s="3" t="s">
        <v>57</v>
      </c>
      <c r="C8" s="2" t="s">
        <v>15</v>
      </c>
      <c r="D8" s="2" t="s">
        <v>14</v>
      </c>
      <c r="E8" s="2" t="s">
        <v>16</v>
      </c>
      <c r="F8" s="2" t="s">
        <v>14</v>
      </c>
      <c r="G8" s="2" t="s">
        <v>16</v>
      </c>
      <c r="H8" s="2" t="s">
        <v>14</v>
      </c>
      <c r="I8" s="2" t="s">
        <v>16</v>
      </c>
      <c r="J8" s="2" t="s">
        <v>14</v>
      </c>
      <c r="K8" s="2" t="s">
        <v>14</v>
      </c>
      <c r="L8" s="2" t="s">
        <v>14</v>
      </c>
      <c r="M8" s="5" cm="1">
        <f t="array" ref="M8">SUMPRODUCT((C8:L8="Yes")*2 + (C8:L8="Partial")*1 + (C8:L8="No")*0)</f>
        <v>7</v>
      </c>
      <c r="N8" s="5" t="str">
        <f t="shared" si="0"/>
        <v>High Risk</v>
      </c>
      <c r="O8" s="5"/>
    </row>
    <row r="9" spans="1:20">
      <c r="A9" s="3">
        <v>8</v>
      </c>
      <c r="B9" s="3" t="s">
        <v>56</v>
      </c>
      <c r="C9" s="2" t="s">
        <v>14</v>
      </c>
      <c r="D9" s="2" t="s">
        <v>15</v>
      </c>
      <c r="E9" s="2" t="s">
        <v>14</v>
      </c>
      <c r="F9" s="2" t="s">
        <v>14</v>
      </c>
      <c r="G9" s="2" t="s">
        <v>15</v>
      </c>
      <c r="H9" s="2" t="s">
        <v>16</v>
      </c>
      <c r="I9" s="2" t="s">
        <v>14</v>
      </c>
      <c r="J9" s="2" t="s">
        <v>16</v>
      </c>
      <c r="K9" s="2" t="s">
        <v>14</v>
      </c>
      <c r="L9" s="2" t="s">
        <v>16</v>
      </c>
      <c r="M9" s="5" cm="1">
        <f t="array" ref="M9">SUMPRODUCT((C9:L9="Yes")*2 + (C9:L9="Partial")*1 + (C9:L9="No")*0)</f>
        <v>8</v>
      </c>
      <c r="N9" s="5" t="str">
        <f t="shared" si="0"/>
        <v>High Risk</v>
      </c>
      <c r="O9" s="5"/>
    </row>
    <row r="10" spans="1:20">
      <c r="A10" s="3">
        <v>9</v>
      </c>
      <c r="B10" s="3" t="s">
        <v>55</v>
      </c>
      <c r="C10" s="2" t="s">
        <v>16</v>
      </c>
      <c r="D10" s="2" t="s">
        <v>15</v>
      </c>
      <c r="E10" s="2" t="s">
        <v>15</v>
      </c>
      <c r="F10" s="2" t="s">
        <v>15</v>
      </c>
      <c r="G10" s="2" t="s">
        <v>14</v>
      </c>
      <c r="H10" s="2" t="s">
        <v>14</v>
      </c>
      <c r="I10" s="2" t="s">
        <v>15</v>
      </c>
      <c r="J10" s="2" t="s">
        <v>14</v>
      </c>
      <c r="K10" s="2" t="s">
        <v>16</v>
      </c>
      <c r="L10" s="2" t="s">
        <v>14</v>
      </c>
      <c r="M10" s="5" cm="1">
        <f t="array" ref="M10">SUMPRODUCT((C10:L10="Yes")*2 + (C10:L10="Partial")*1 + (C10:L10="No")*0)</f>
        <v>8</v>
      </c>
      <c r="N10" s="5" t="str">
        <f t="shared" si="0"/>
        <v>High Risk</v>
      </c>
      <c r="O10" s="5"/>
    </row>
    <row r="11" spans="1:20">
      <c r="A11" s="3">
        <v>10</v>
      </c>
      <c r="B11" s="3" t="s">
        <v>54</v>
      </c>
      <c r="C11" s="2" t="s">
        <v>14</v>
      </c>
      <c r="D11" s="2" t="s">
        <v>15</v>
      </c>
      <c r="E11" s="2" t="s">
        <v>15</v>
      </c>
      <c r="F11" s="2" t="s">
        <v>14</v>
      </c>
      <c r="G11" s="2" t="s">
        <v>16</v>
      </c>
      <c r="H11" s="2" t="s">
        <v>16</v>
      </c>
      <c r="I11" s="2" t="s">
        <v>14</v>
      </c>
      <c r="J11" s="2" t="s">
        <v>15</v>
      </c>
      <c r="K11" s="2" t="s">
        <v>14</v>
      </c>
      <c r="L11" s="2" t="s">
        <v>15</v>
      </c>
      <c r="M11" s="5" cm="1">
        <f t="array" ref="M11">SUMPRODUCT((C11:L11="Yes")*2 + (C11:L11="Partial")*1 + (C11:L11="No")*0)</f>
        <v>8</v>
      </c>
      <c r="N11" s="5" t="str">
        <f t="shared" si="0"/>
        <v>High Risk</v>
      </c>
      <c r="O11" s="5"/>
    </row>
    <row r="12" spans="1:20">
      <c r="A12" s="3">
        <v>11</v>
      </c>
      <c r="B12" s="3" t="s">
        <v>53</v>
      </c>
      <c r="C12" s="2" t="s">
        <v>15</v>
      </c>
      <c r="D12" s="2" t="s">
        <v>14</v>
      </c>
      <c r="E12" s="2" t="s">
        <v>14</v>
      </c>
      <c r="F12" s="2" t="s">
        <v>16</v>
      </c>
      <c r="G12" s="2" t="s">
        <v>15</v>
      </c>
      <c r="H12" s="2" t="s">
        <v>15</v>
      </c>
      <c r="I12" s="2" t="s">
        <v>16</v>
      </c>
      <c r="J12" s="2" t="s">
        <v>14</v>
      </c>
      <c r="K12" s="2" t="s">
        <v>16</v>
      </c>
      <c r="L12" s="2" t="s">
        <v>14</v>
      </c>
      <c r="M12" s="5" cm="1">
        <f t="array" ref="M12">SUMPRODUCT((C12:L12="Yes")*2 + (C12:L12="Partial")*1 + (C12:L12="No")*0)</f>
        <v>9</v>
      </c>
      <c r="N12" s="5" t="str">
        <f t="shared" si="0"/>
        <v>High Risk</v>
      </c>
      <c r="O12" s="5"/>
    </row>
    <row r="13" spans="1:20">
      <c r="A13" s="3">
        <v>12</v>
      </c>
      <c r="B13" s="3" t="s">
        <v>52</v>
      </c>
      <c r="C13" s="2" t="s">
        <v>14</v>
      </c>
      <c r="D13" s="2" t="s">
        <v>16</v>
      </c>
      <c r="E13" s="2" t="s">
        <v>16</v>
      </c>
      <c r="F13" s="2" t="s">
        <v>14</v>
      </c>
      <c r="G13" s="2" t="s">
        <v>14</v>
      </c>
      <c r="H13" s="2" t="s">
        <v>16</v>
      </c>
      <c r="I13" s="2" t="s">
        <v>14</v>
      </c>
      <c r="J13" s="2" t="s">
        <v>16</v>
      </c>
      <c r="K13" s="2" t="s">
        <v>15</v>
      </c>
      <c r="L13" s="2" t="s">
        <v>14</v>
      </c>
      <c r="M13" s="5" cm="1">
        <f t="array" ref="M13">SUMPRODUCT((C13:L13="Yes")*2 + (C13:L13="Partial")*1 + (C13:L13="No")*0)</f>
        <v>9</v>
      </c>
      <c r="N13" s="5" t="str">
        <f t="shared" si="0"/>
        <v>High Risk</v>
      </c>
      <c r="O13" s="5"/>
    </row>
    <row r="14" spans="1:20">
      <c r="A14" s="3">
        <v>13</v>
      </c>
      <c r="B14" s="3" t="s">
        <v>51</v>
      </c>
      <c r="C14" s="2" t="s">
        <v>15</v>
      </c>
      <c r="D14" s="2" t="s">
        <v>16</v>
      </c>
      <c r="E14" s="2" t="s">
        <v>14</v>
      </c>
      <c r="F14" s="2" t="s">
        <v>14</v>
      </c>
      <c r="G14" s="2" t="s">
        <v>16</v>
      </c>
      <c r="H14" s="2" t="s">
        <v>14</v>
      </c>
      <c r="I14" s="2" t="s">
        <v>15</v>
      </c>
      <c r="J14" s="2" t="s">
        <v>15</v>
      </c>
      <c r="K14" s="2" t="s">
        <v>14</v>
      </c>
      <c r="L14" s="2" t="s">
        <v>16</v>
      </c>
      <c r="M14" s="5" cm="1">
        <f t="array" ref="M14">SUMPRODUCT((C14:L14="Yes")*2 + (C14:L14="Partial")*1 + (C14:L14="No")*0)</f>
        <v>9</v>
      </c>
      <c r="N14" s="5" t="str">
        <f t="shared" si="0"/>
        <v>High Risk</v>
      </c>
      <c r="O14" s="5"/>
    </row>
    <row r="15" spans="1:20">
      <c r="A15" s="3">
        <v>14</v>
      </c>
      <c r="B15" s="3" t="s">
        <v>50</v>
      </c>
      <c r="C15" s="2" t="s">
        <v>14</v>
      </c>
      <c r="D15" s="2" t="s">
        <v>14</v>
      </c>
      <c r="E15" s="2" t="s">
        <v>16</v>
      </c>
      <c r="F15" s="2" t="s">
        <v>16</v>
      </c>
      <c r="G15" s="2" t="s">
        <v>14</v>
      </c>
      <c r="H15" s="2" t="s">
        <v>16</v>
      </c>
      <c r="I15" s="2" t="s">
        <v>14</v>
      </c>
      <c r="J15" s="2" t="s">
        <v>16</v>
      </c>
      <c r="K15" s="2" t="s">
        <v>15</v>
      </c>
      <c r="L15" s="2" t="s">
        <v>14</v>
      </c>
      <c r="M15" s="5" cm="1">
        <f t="array" ref="M15">SUMPRODUCT((C15:L15="Yes")*2 + (C15:L15="Partial")*1 + (C15:L15="No")*0)</f>
        <v>9</v>
      </c>
      <c r="N15" s="5" t="str">
        <f t="shared" si="0"/>
        <v>High Risk</v>
      </c>
      <c r="O15" s="5"/>
    </row>
    <row r="16" spans="1:20">
      <c r="A16" s="3">
        <v>15</v>
      </c>
      <c r="B16" s="3" t="s">
        <v>49</v>
      </c>
      <c r="C16" s="2" t="s">
        <v>16</v>
      </c>
      <c r="D16" s="2" t="s">
        <v>16</v>
      </c>
      <c r="E16" s="2" t="s">
        <v>14</v>
      </c>
      <c r="F16" s="2" t="s">
        <v>14</v>
      </c>
      <c r="G16" s="2" t="s">
        <v>16</v>
      </c>
      <c r="H16" s="2" t="s">
        <v>14</v>
      </c>
      <c r="I16" s="2" t="s">
        <v>16</v>
      </c>
      <c r="J16" s="2" t="s">
        <v>14</v>
      </c>
      <c r="K16" s="2" t="s">
        <v>16</v>
      </c>
      <c r="L16" s="2" t="s">
        <v>14</v>
      </c>
      <c r="M16" s="5" cm="1">
        <f t="array" ref="M16">SUMPRODUCT((C16:L16="Yes")*2 + (C16:L16="Partial")*1 + (C16:L16="No")*0)</f>
        <v>10</v>
      </c>
      <c r="N16" s="5" t="str">
        <f t="shared" si="0"/>
        <v>High Risk</v>
      </c>
      <c r="O16" s="5"/>
    </row>
    <row r="17" spans="1:15">
      <c r="A17" s="3">
        <v>16</v>
      </c>
      <c r="B17" s="3" t="s">
        <v>48</v>
      </c>
      <c r="C17" s="2" t="s">
        <v>15</v>
      </c>
      <c r="D17" s="2" t="s">
        <v>15</v>
      </c>
      <c r="E17" s="2" t="s">
        <v>15</v>
      </c>
      <c r="F17" s="2" t="s">
        <v>15</v>
      </c>
      <c r="G17" s="2" t="s">
        <v>15</v>
      </c>
      <c r="H17" s="2" t="s">
        <v>15</v>
      </c>
      <c r="I17" s="2" t="s">
        <v>15</v>
      </c>
      <c r="J17" s="2" t="s">
        <v>15</v>
      </c>
      <c r="K17" s="2" t="s">
        <v>15</v>
      </c>
      <c r="L17" s="2" t="s">
        <v>15</v>
      </c>
      <c r="M17" s="5" cm="1">
        <f t="array" ref="M17">SUMPRODUCT((C17:L17="Yes")*2 + (C17:L17="Partial")*1 + (C17:L17="No")*0)</f>
        <v>10</v>
      </c>
      <c r="N17" s="5" t="str">
        <f t="shared" si="0"/>
        <v>High Risk</v>
      </c>
      <c r="O17" s="5"/>
    </row>
    <row r="18" spans="1:15">
      <c r="A18" s="3">
        <v>17</v>
      </c>
      <c r="B18" s="3" t="s">
        <v>47</v>
      </c>
      <c r="C18" s="2" t="s">
        <v>14</v>
      </c>
      <c r="D18" s="2" t="s">
        <v>14</v>
      </c>
      <c r="E18" s="2" t="s">
        <v>16</v>
      </c>
      <c r="F18" s="2" t="s">
        <v>16</v>
      </c>
      <c r="G18" s="2" t="s">
        <v>14</v>
      </c>
      <c r="H18" s="2" t="s">
        <v>16</v>
      </c>
      <c r="I18" s="2" t="s">
        <v>14</v>
      </c>
      <c r="J18" s="2" t="s">
        <v>16</v>
      </c>
      <c r="K18" s="2" t="s">
        <v>14</v>
      </c>
      <c r="L18" s="2" t="s">
        <v>16</v>
      </c>
      <c r="M18" s="5" cm="1">
        <f t="array" ref="M18">SUMPRODUCT((C18:L18="Yes")*2 + (C18:L18="Partial")*1 + (C18:L18="No")*0)</f>
        <v>10</v>
      </c>
      <c r="N18" s="5" t="str">
        <f t="shared" si="0"/>
        <v>High Risk</v>
      </c>
      <c r="O18" s="5"/>
    </row>
    <row r="19" spans="1:15">
      <c r="A19" s="3">
        <v>18</v>
      </c>
      <c r="B19" s="3" t="s">
        <v>46</v>
      </c>
      <c r="C19" s="2" t="s">
        <v>16</v>
      </c>
      <c r="D19" s="2" t="s">
        <v>16</v>
      </c>
      <c r="E19" s="2" t="s">
        <v>14</v>
      </c>
      <c r="F19" s="2" t="s">
        <v>16</v>
      </c>
      <c r="G19" s="2" t="s">
        <v>14</v>
      </c>
      <c r="H19" s="2" t="s">
        <v>16</v>
      </c>
      <c r="I19" s="2" t="s">
        <v>14</v>
      </c>
      <c r="J19" s="2" t="s">
        <v>16</v>
      </c>
      <c r="K19" s="2" t="s">
        <v>15</v>
      </c>
      <c r="L19" s="2" t="s">
        <v>14</v>
      </c>
      <c r="M19" s="5" cm="1">
        <f t="array" ref="M19">SUMPRODUCT((C19:L19="Yes")*2 + (C19:L19="Partial")*1 + (C19:L19="No")*0)</f>
        <v>11</v>
      </c>
      <c r="N19" s="5" t="str">
        <f t="shared" si="0"/>
        <v>Medium Risk</v>
      </c>
      <c r="O19" s="5"/>
    </row>
    <row r="20" spans="1:15">
      <c r="A20" s="3">
        <v>19</v>
      </c>
      <c r="B20" s="3" t="s">
        <v>45</v>
      </c>
      <c r="C20" s="2" t="s">
        <v>16</v>
      </c>
      <c r="D20" s="2" t="s">
        <v>15</v>
      </c>
      <c r="E20" s="2" t="s">
        <v>16</v>
      </c>
      <c r="F20" s="2" t="s">
        <v>14</v>
      </c>
      <c r="G20" s="2" t="s">
        <v>16</v>
      </c>
      <c r="H20" s="2" t="s">
        <v>14</v>
      </c>
      <c r="I20" s="2" t="s">
        <v>16</v>
      </c>
      <c r="J20" s="2" t="s">
        <v>14</v>
      </c>
      <c r="K20" s="2" t="s">
        <v>14</v>
      </c>
      <c r="L20" s="2" t="s">
        <v>16</v>
      </c>
      <c r="M20" s="5" cm="1">
        <f t="array" ref="M20">SUMPRODUCT((C20:L20="Yes")*2 + (C20:L20="Partial")*1 + (C20:L20="No")*0)</f>
        <v>11</v>
      </c>
      <c r="N20" s="5" t="str">
        <f t="shared" si="0"/>
        <v>Medium Risk</v>
      </c>
      <c r="O20" s="5"/>
    </row>
    <row r="21" spans="1:15">
      <c r="A21" s="3">
        <v>20</v>
      </c>
      <c r="B21" s="3" t="s">
        <v>44</v>
      </c>
      <c r="C21" s="2" t="s">
        <v>14</v>
      </c>
      <c r="D21" s="2" t="s">
        <v>16</v>
      </c>
      <c r="E21" s="2" t="s">
        <v>14</v>
      </c>
      <c r="F21" s="2" t="s">
        <v>16</v>
      </c>
      <c r="G21" s="2" t="s">
        <v>14</v>
      </c>
      <c r="H21" s="2" t="s">
        <v>16</v>
      </c>
      <c r="I21" s="2" t="s">
        <v>15</v>
      </c>
      <c r="J21" s="2" t="s">
        <v>16</v>
      </c>
      <c r="K21" s="2" t="s">
        <v>14</v>
      </c>
      <c r="L21" s="2" t="s">
        <v>16</v>
      </c>
      <c r="M21" s="5" cm="1">
        <f t="array" ref="M21">SUMPRODUCT((C21:L21="Yes")*2 + (C21:L21="Partial")*1 + (C21:L21="No")*0)</f>
        <v>11</v>
      </c>
      <c r="N21" s="5" t="str">
        <f t="shared" si="0"/>
        <v>Medium Risk</v>
      </c>
      <c r="O21" s="5"/>
    </row>
    <row r="22" spans="1:15">
      <c r="A22" s="3">
        <v>21</v>
      </c>
      <c r="B22" s="3" t="s">
        <v>43</v>
      </c>
      <c r="C22" s="2" t="s">
        <v>15</v>
      </c>
      <c r="D22" s="2" t="s">
        <v>14</v>
      </c>
      <c r="E22" s="2" t="s">
        <v>16</v>
      </c>
      <c r="F22" s="2" t="s">
        <v>16</v>
      </c>
      <c r="G22" s="2" t="s">
        <v>16</v>
      </c>
      <c r="H22" s="2" t="s">
        <v>14</v>
      </c>
      <c r="I22" s="2" t="s">
        <v>16</v>
      </c>
      <c r="J22" s="2" t="s">
        <v>14</v>
      </c>
      <c r="K22" s="2" t="s">
        <v>16</v>
      </c>
      <c r="L22" s="2" t="s">
        <v>14</v>
      </c>
      <c r="M22" s="5" cm="1">
        <f t="array" ref="M22">SUMPRODUCT((C22:L22="Yes")*2 + (C22:L22="Partial")*1 + (C22:L22="No")*0)</f>
        <v>11</v>
      </c>
      <c r="N22" s="5" t="str">
        <f t="shared" si="0"/>
        <v>Medium Risk</v>
      </c>
      <c r="O22" s="5"/>
    </row>
    <row r="23" spans="1:15">
      <c r="A23" s="3">
        <v>22</v>
      </c>
      <c r="B23" s="3" t="s">
        <v>42</v>
      </c>
      <c r="C23" s="2" t="s">
        <v>16</v>
      </c>
      <c r="D23" s="2" t="s">
        <v>16</v>
      </c>
      <c r="E23" s="2" t="s">
        <v>14</v>
      </c>
      <c r="F23" s="2" t="s">
        <v>16</v>
      </c>
      <c r="G23" s="2" t="s">
        <v>14</v>
      </c>
      <c r="H23" s="2" t="s">
        <v>16</v>
      </c>
      <c r="I23" s="2" t="s">
        <v>14</v>
      </c>
      <c r="J23" s="2" t="s">
        <v>16</v>
      </c>
      <c r="K23" s="2" t="s">
        <v>14</v>
      </c>
      <c r="L23" s="2" t="s">
        <v>16</v>
      </c>
      <c r="M23" s="5" cm="1">
        <f t="array" ref="M23">SUMPRODUCT((C23:L23="Yes")*2 + (C23:L23="Partial")*1 + (C23:L23="No")*0)</f>
        <v>12</v>
      </c>
      <c r="N23" s="5" t="str">
        <f t="shared" si="0"/>
        <v>Medium Risk</v>
      </c>
      <c r="O23" s="5"/>
    </row>
    <row r="24" spans="1:15">
      <c r="A24" s="3">
        <v>23</v>
      </c>
      <c r="B24" s="3" t="s">
        <v>41</v>
      </c>
      <c r="C24" s="2" t="s">
        <v>14</v>
      </c>
      <c r="D24" s="2" t="s">
        <v>16</v>
      </c>
      <c r="E24" s="2" t="s">
        <v>16</v>
      </c>
      <c r="F24" s="2" t="s">
        <v>14</v>
      </c>
      <c r="G24" s="2" t="s">
        <v>16</v>
      </c>
      <c r="H24" s="2" t="s">
        <v>16</v>
      </c>
      <c r="I24" s="2" t="s">
        <v>16</v>
      </c>
      <c r="J24" s="2" t="s">
        <v>14</v>
      </c>
      <c r="K24" s="2" t="s">
        <v>16</v>
      </c>
      <c r="L24" s="2" t="s">
        <v>14</v>
      </c>
      <c r="M24" s="5" cm="1">
        <f t="array" ref="M24">SUMPRODUCT((C24:L24="Yes")*2 + (C24:L24="Partial")*1 + (C24:L24="No")*0)</f>
        <v>12</v>
      </c>
      <c r="N24" s="5" t="str">
        <f t="shared" si="0"/>
        <v>Medium Risk</v>
      </c>
      <c r="O24" s="5"/>
    </row>
    <row r="25" spans="1:15">
      <c r="A25" s="3">
        <v>24</v>
      </c>
      <c r="B25" s="3" t="s">
        <v>40</v>
      </c>
      <c r="C25" s="2" t="s">
        <v>16</v>
      </c>
      <c r="D25" s="2" t="s">
        <v>14</v>
      </c>
      <c r="E25" s="2" t="s">
        <v>16</v>
      </c>
      <c r="F25" s="2" t="s">
        <v>16</v>
      </c>
      <c r="G25" s="2" t="s">
        <v>14</v>
      </c>
      <c r="H25" s="2" t="s">
        <v>16</v>
      </c>
      <c r="I25" s="2" t="s">
        <v>14</v>
      </c>
      <c r="J25" s="2" t="s">
        <v>16</v>
      </c>
      <c r="K25" s="2" t="s">
        <v>14</v>
      </c>
      <c r="L25" s="2" t="s">
        <v>16</v>
      </c>
      <c r="M25" s="5" cm="1">
        <f t="array" ref="M25">SUMPRODUCT((C25:L25="Yes")*2 + (C25:L25="Partial")*1 + (C25:L25="No")*0)</f>
        <v>12</v>
      </c>
      <c r="N25" s="5" t="str">
        <f t="shared" si="0"/>
        <v>Medium Risk</v>
      </c>
      <c r="O25" s="5"/>
    </row>
    <row r="26" spans="1:15">
      <c r="A26" s="3">
        <v>25</v>
      </c>
      <c r="B26" s="3" t="s">
        <v>39</v>
      </c>
      <c r="C26" s="2" t="s">
        <v>14</v>
      </c>
      <c r="D26" s="2" t="s">
        <v>16</v>
      </c>
      <c r="E26" s="2" t="s">
        <v>14</v>
      </c>
      <c r="F26" s="2" t="s">
        <v>16</v>
      </c>
      <c r="G26" s="2" t="s">
        <v>16</v>
      </c>
      <c r="H26" s="2" t="s">
        <v>16</v>
      </c>
      <c r="I26" s="2" t="s">
        <v>16</v>
      </c>
      <c r="J26" s="2" t="s">
        <v>14</v>
      </c>
      <c r="K26" s="2" t="s">
        <v>16</v>
      </c>
      <c r="L26" s="2" t="s">
        <v>14</v>
      </c>
      <c r="M26" s="5" cm="1">
        <f t="array" ref="M26">SUMPRODUCT((C26:L26="Yes")*2 + (C26:L26="Partial")*1 + (C26:L26="No")*0)</f>
        <v>12</v>
      </c>
      <c r="N26" s="5" t="str">
        <f t="shared" si="0"/>
        <v>Medium Risk</v>
      </c>
      <c r="O26" s="5"/>
    </row>
    <row r="27" spans="1:15">
      <c r="A27" s="3">
        <v>26</v>
      </c>
      <c r="B27" s="3" t="s">
        <v>38</v>
      </c>
      <c r="C27" s="2" t="s">
        <v>16</v>
      </c>
      <c r="D27" s="2" t="s">
        <v>14</v>
      </c>
      <c r="E27" s="2" t="s">
        <v>16</v>
      </c>
      <c r="F27" s="2" t="s">
        <v>14</v>
      </c>
      <c r="G27" s="2" t="s">
        <v>16</v>
      </c>
      <c r="H27" s="2" t="s">
        <v>15</v>
      </c>
      <c r="I27" s="2" t="s">
        <v>16</v>
      </c>
      <c r="J27" s="2" t="s">
        <v>15</v>
      </c>
      <c r="K27" s="2" t="s">
        <v>16</v>
      </c>
      <c r="L27" s="2" t="s">
        <v>15</v>
      </c>
      <c r="M27" s="5" cm="1">
        <f t="array" ref="M27">SUMPRODUCT((C27:L27="Yes")*2 + (C27:L27="Partial")*1 + (C27:L27="No")*0)</f>
        <v>13</v>
      </c>
      <c r="N27" s="5" t="str">
        <f t="shared" si="0"/>
        <v>Medium Risk</v>
      </c>
      <c r="O27" s="5"/>
    </row>
    <row r="28" spans="1:15">
      <c r="A28" s="3">
        <v>27</v>
      </c>
      <c r="B28" s="3" t="s">
        <v>37</v>
      </c>
      <c r="C28" s="2" t="s">
        <v>16</v>
      </c>
      <c r="D28" s="2" t="s">
        <v>16</v>
      </c>
      <c r="E28" s="2" t="s">
        <v>16</v>
      </c>
      <c r="F28" s="2" t="s">
        <v>16</v>
      </c>
      <c r="G28" s="2" t="s">
        <v>14</v>
      </c>
      <c r="H28" s="2" t="s">
        <v>16</v>
      </c>
      <c r="I28" s="2" t="s">
        <v>14</v>
      </c>
      <c r="J28" s="2" t="s">
        <v>16</v>
      </c>
      <c r="K28" s="2" t="s">
        <v>14</v>
      </c>
      <c r="L28" s="2" t="s">
        <v>16</v>
      </c>
      <c r="M28" s="5" cm="1">
        <f t="array" ref="M28">SUMPRODUCT((C28:L28="Yes")*2 + (C28:L28="Partial")*1 + (C28:L28="No")*0)</f>
        <v>14</v>
      </c>
      <c r="N28" s="5" t="str">
        <f t="shared" si="0"/>
        <v>Medium Risk</v>
      </c>
      <c r="O28" s="5"/>
    </row>
    <row r="29" spans="1:15">
      <c r="A29" s="3">
        <v>28</v>
      </c>
      <c r="B29" s="3" t="s">
        <v>36</v>
      </c>
      <c r="C29" s="2" t="s">
        <v>16</v>
      </c>
      <c r="D29" s="2" t="s">
        <v>14</v>
      </c>
      <c r="E29" s="2" t="s">
        <v>14</v>
      </c>
      <c r="F29" s="2" t="s">
        <v>16</v>
      </c>
      <c r="G29" s="2" t="s">
        <v>16</v>
      </c>
      <c r="H29" s="2" t="s">
        <v>15</v>
      </c>
      <c r="I29" s="2" t="s">
        <v>16</v>
      </c>
      <c r="J29" s="2" t="s">
        <v>16</v>
      </c>
      <c r="K29" s="2" t="s">
        <v>16</v>
      </c>
      <c r="L29" s="2" t="s">
        <v>15</v>
      </c>
      <c r="M29" s="5" cm="1">
        <f t="array" ref="M29">SUMPRODUCT((C29:L29="Yes")*2 + (C29:L29="Partial")*1 + (C29:L29="No")*0)</f>
        <v>14</v>
      </c>
      <c r="N29" s="5" t="str">
        <f t="shared" si="0"/>
        <v>Medium Risk</v>
      </c>
      <c r="O29" s="5"/>
    </row>
    <row r="30" spans="1:15">
      <c r="A30" s="3">
        <v>29</v>
      </c>
      <c r="B30" s="3" t="s">
        <v>35</v>
      </c>
      <c r="C30" s="2" t="s">
        <v>15</v>
      </c>
      <c r="D30" s="2" t="s">
        <v>16</v>
      </c>
      <c r="E30" s="2" t="s">
        <v>16</v>
      </c>
      <c r="F30" s="2" t="s">
        <v>14</v>
      </c>
      <c r="G30" s="2" t="s">
        <v>16</v>
      </c>
      <c r="H30" s="2" t="s">
        <v>16</v>
      </c>
      <c r="I30" s="2" t="s">
        <v>16</v>
      </c>
      <c r="J30" s="2" t="s">
        <v>14</v>
      </c>
      <c r="K30" s="2" t="s">
        <v>15</v>
      </c>
      <c r="L30" s="2" t="s">
        <v>16</v>
      </c>
      <c r="M30" s="5" cm="1">
        <f t="array" ref="M30">SUMPRODUCT((C30:L30="Yes")*2 + (C30:L30="Partial")*1 + (C30:L30="No")*0)</f>
        <v>14</v>
      </c>
      <c r="N30" s="5" t="str">
        <f t="shared" si="0"/>
        <v>Medium Risk</v>
      </c>
      <c r="O30" s="5"/>
    </row>
    <row r="31" spans="1:15">
      <c r="A31" s="3">
        <v>30</v>
      </c>
      <c r="B31" s="3" t="s">
        <v>34</v>
      </c>
      <c r="C31" s="2" t="s">
        <v>16</v>
      </c>
      <c r="D31" s="2" t="s">
        <v>16</v>
      </c>
      <c r="E31" s="2" t="s">
        <v>16</v>
      </c>
      <c r="F31" s="2" t="s">
        <v>16</v>
      </c>
      <c r="G31" s="2" t="s">
        <v>15</v>
      </c>
      <c r="H31" s="2" t="s">
        <v>14</v>
      </c>
      <c r="I31" s="2" t="s">
        <v>16</v>
      </c>
      <c r="J31" s="2" t="s">
        <v>16</v>
      </c>
      <c r="K31" s="2" t="s">
        <v>14</v>
      </c>
      <c r="L31" s="2" t="s">
        <v>16</v>
      </c>
      <c r="M31" s="5" cm="1">
        <f t="array" ref="M31">SUMPRODUCT((C31:L31="Yes")*2 + (C31:L31="Partial")*1 + (C31:L31="No")*0)</f>
        <v>15</v>
      </c>
      <c r="N31" s="5" t="str">
        <f t="shared" si="0"/>
        <v>Medium Risk</v>
      </c>
      <c r="O31" s="5"/>
    </row>
    <row r="32" spans="1:15">
      <c r="A32" s="3">
        <v>31</v>
      </c>
      <c r="B32" s="3" t="s">
        <v>33</v>
      </c>
      <c r="C32" s="2" t="s">
        <v>16</v>
      </c>
      <c r="D32" s="2" t="s">
        <v>14</v>
      </c>
      <c r="E32" s="2" t="s">
        <v>16</v>
      </c>
      <c r="F32" s="2" t="s">
        <v>14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5" cm="1">
        <f t="array" ref="M32">SUMPRODUCT((C32:L32="Yes")*2 + (C32:L32="Partial")*1 + (C32:L32="No")*0)</f>
        <v>16</v>
      </c>
      <c r="N32" s="5" t="str">
        <f t="shared" si="0"/>
        <v>Medium Risk</v>
      </c>
      <c r="O32" s="5"/>
    </row>
    <row r="33" spans="1:15">
      <c r="A33" s="3">
        <v>32</v>
      </c>
      <c r="B33" s="3" t="s">
        <v>32</v>
      </c>
      <c r="C33" s="2" t="s">
        <v>16</v>
      </c>
      <c r="D33" s="2" t="s">
        <v>16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15</v>
      </c>
      <c r="J33" s="2" t="s">
        <v>16</v>
      </c>
      <c r="K33" s="2" t="s">
        <v>14</v>
      </c>
      <c r="L33" s="2" t="s">
        <v>15</v>
      </c>
      <c r="M33" s="5" cm="1">
        <f t="array" ref="M33">SUMPRODUCT((C33:L33="Yes")*2 + (C33:L33="Partial")*1 + (C33:L33="No")*0)</f>
        <v>16</v>
      </c>
      <c r="N33" s="5" t="str">
        <f t="shared" si="0"/>
        <v>Medium Risk</v>
      </c>
      <c r="O33" s="5"/>
    </row>
    <row r="34" spans="1:15">
      <c r="A34" s="3">
        <v>33</v>
      </c>
      <c r="B34" s="3" t="s">
        <v>31</v>
      </c>
      <c r="C34" s="2" t="s">
        <v>16</v>
      </c>
      <c r="D34" s="2" t="s">
        <v>16</v>
      </c>
      <c r="E34" s="2" t="s">
        <v>15</v>
      </c>
      <c r="F34" s="2" t="s">
        <v>16</v>
      </c>
      <c r="G34" s="2" t="s">
        <v>16</v>
      </c>
      <c r="H34" s="2" t="s">
        <v>15</v>
      </c>
      <c r="I34" s="2" t="s">
        <v>15</v>
      </c>
      <c r="J34" s="2" t="s">
        <v>16</v>
      </c>
      <c r="K34" s="2" t="s">
        <v>15</v>
      </c>
      <c r="L34" s="2" t="s">
        <v>16</v>
      </c>
      <c r="M34" s="5" cm="1">
        <f t="array" ref="M34">SUMPRODUCT((C34:L34="Yes")*2 + (C34:L34="Partial")*1 + (C34:L34="No")*0)</f>
        <v>16</v>
      </c>
      <c r="N34" s="5" t="str">
        <f t="shared" si="0"/>
        <v>Medium Risk</v>
      </c>
      <c r="O34" s="5"/>
    </row>
    <row r="35" spans="1:15">
      <c r="A35" s="3">
        <v>34</v>
      </c>
      <c r="B35" s="3" t="s">
        <v>30</v>
      </c>
      <c r="C35" s="2" t="s">
        <v>16</v>
      </c>
      <c r="D35" s="2" t="s">
        <v>16</v>
      </c>
      <c r="E35" s="2" t="s">
        <v>16</v>
      </c>
      <c r="F35" s="2" t="s">
        <v>16</v>
      </c>
      <c r="G35" s="2" t="s">
        <v>16</v>
      </c>
      <c r="H35" s="2" t="s">
        <v>14</v>
      </c>
      <c r="I35" s="2" t="s">
        <v>15</v>
      </c>
      <c r="J35" s="2" t="s">
        <v>16</v>
      </c>
      <c r="K35" s="2" t="s">
        <v>15</v>
      </c>
      <c r="L35" s="2" t="s">
        <v>16</v>
      </c>
      <c r="M35" s="5" cm="1">
        <f t="array" ref="M35">SUMPRODUCT((C35:L35="Yes")*2 + (C35:L35="Partial")*1 + (C35:L35="No")*0)</f>
        <v>16</v>
      </c>
      <c r="N35" s="5" t="str">
        <f t="shared" si="0"/>
        <v>Medium Risk</v>
      </c>
      <c r="O35" s="5"/>
    </row>
    <row r="36" spans="1:15">
      <c r="A36" s="3">
        <v>35</v>
      </c>
      <c r="B36" s="3" t="s">
        <v>29</v>
      </c>
      <c r="C36" s="2" t="s">
        <v>15</v>
      </c>
      <c r="D36" s="2" t="s">
        <v>16</v>
      </c>
      <c r="E36" s="2" t="s">
        <v>14</v>
      </c>
      <c r="F36" s="2" t="s">
        <v>16</v>
      </c>
      <c r="G36" s="2" t="s">
        <v>16</v>
      </c>
      <c r="H36" s="2" t="s">
        <v>15</v>
      </c>
      <c r="I36" s="2" t="s">
        <v>16</v>
      </c>
      <c r="J36" s="2" t="s">
        <v>16</v>
      </c>
      <c r="K36" s="2" t="s">
        <v>16</v>
      </c>
      <c r="L36" s="2" t="s">
        <v>16</v>
      </c>
      <c r="M36" s="5" cm="1">
        <f t="array" ref="M36">SUMPRODUCT((C36:L36="Yes")*2 + (C36:L36="Partial")*1 + (C36:L36="No")*0)</f>
        <v>16</v>
      </c>
      <c r="N36" s="5" t="str">
        <f t="shared" si="0"/>
        <v>Medium Risk</v>
      </c>
      <c r="O36" s="5"/>
    </row>
    <row r="37" spans="1:15">
      <c r="A37" s="3">
        <v>36</v>
      </c>
      <c r="B37" s="3" t="s">
        <v>28</v>
      </c>
      <c r="C37" s="2" t="s">
        <v>16</v>
      </c>
      <c r="D37" s="2" t="s">
        <v>15</v>
      </c>
      <c r="E37" s="2" t="s">
        <v>16</v>
      </c>
      <c r="F37" s="2" t="s">
        <v>16</v>
      </c>
      <c r="G37" s="2" t="s">
        <v>15</v>
      </c>
      <c r="H37" s="2" t="s">
        <v>16</v>
      </c>
      <c r="I37" s="2" t="s">
        <v>16</v>
      </c>
      <c r="J37" s="2" t="s">
        <v>14</v>
      </c>
      <c r="K37" s="2" t="s">
        <v>16</v>
      </c>
      <c r="L37" s="2" t="s">
        <v>16</v>
      </c>
      <c r="M37" s="5" cm="1">
        <f t="array" ref="M37">SUMPRODUCT((C37:L37="Yes")*2 + (C37:L37="Partial")*1 + (C37:L37="No")*0)</f>
        <v>16</v>
      </c>
      <c r="N37" s="5" t="str">
        <f t="shared" si="0"/>
        <v>Medium Risk</v>
      </c>
      <c r="O37" s="5"/>
    </row>
    <row r="38" spans="1:15">
      <c r="A38" s="3">
        <v>37</v>
      </c>
      <c r="B38" s="3" t="s">
        <v>27</v>
      </c>
      <c r="C38" s="2" t="s">
        <v>16</v>
      </c>
      <c r="D38" s="2" t="s">
        <v>16</v>
      </c>
      <c r="E38" s="2" t="s">
        <v>16</v>
      </c>
      <c r="F38" s="2" t="s">
        <v>14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15</v>
      </c>
      <c r="M38" s="5" cm="1">
        <f t="array" ref="M38">SUMPRODUCT((C38:L38="Yes")*2 + (C38:L38="Partial")*1 + (C38:L38="No")*0)</f>
        <v>17</v>
      </c>
      <c r="N38" s="5" t="str">
        <f t="shared" si="0"/>
        <v>Low Risk</v>
      </c>
      <c r="O38" s="5"/>
    </row>
    <row r="39" spans="1:15">
      <c r="A39" s="3">
        <v>38</v>
      </c>
      <c r="B39" s="3" t="s">
        <v>26</v>
      </c>
      <c r="C39" s="2" t="s">
        <v>16</v>
      </c>
      <c r="D39" s="2" t="s">
        <v>16</v>
      </c>
      <c r="E39" s="2" t="s">
        <v>16</v>
      </c>
      <c r="F39" s="2" t="s">
        <v>16</v>
      </c>
      <c r="G39" s="2" t="s">
        <v>16</v>
      </c>
      <c r="H39" s="2" t="s">
        <v>16</v>
      </c>
      <c r="I39" s="2" t="s">
        <v>14</v>
      </c>
      <c r="J39" s="2" t="s">
        <v>16</v>
      </c>
      <c r="K39" s="2" t="s">
        <v>15</v>
      </c>
      <c r="L39" s="2" t="s">
        <v>16</v>
      </c>
      <c r="M39" s="5" cm="1">
        <f t="array" ref="M39">SUMPRODUCT((C39:L39="Yes")*2 + (C39:L39="Partial")*1 + (C39:L39="No")*0)</f>
        <v>17</v>
      </c>
      <c r="N39" s="5" t="str">
        <f t="shared" si="0"/>
        <v>Low Risk</v>
      </c>
      <c r="O39" s="5"/>
    </row>
    <row r="40" spans="1:15">
      <c r="A40" s="3">
        <v>39</v>
      </c>
      <c r="B40" s="3" t="s">
        <v>25</v>
      </c>
      <c r="C40" s="2" t="s">
        <v>16</v>
      </c>
      <c r="D40" s="2" t="s">
        <v>15</v>
      </c>
      <c r="E40" s="2" t="s">
        <v>16</v>
      </c>
      <c r="F40" s="2" t="s">
        <v>16</v>
      </c>
      <c r="G40" s="2" t="s">
        <v>14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5" cm="1">
        <f t="array" ref="M40">SUMPRODUCT((C40:L40="Yes")*2 + (C40:L40="Partial")*1 + (C40:L40="No")*0)</f>
        <v>17</v>
      </c>
      <c r="N40" s="5" t="str">
        <f t="shared" si="0"/>
        <v>Low Risk</v>
      </c>
      <c r="O40" s="5"/>
    </row>
    <row r="41" spans="1:15">
      <c r="A41" s="3">
        <v>40</v>
      </c>
      <c r="B41" s="3" t="s">
        <v>24</v>
      </c>
      <c r="C41" s="2" t="s">
        <v>16</v>
      </c>
      <c r="D41" s="2" t="s">
        <v>16</v>
      </c>
      <c r="E41" s="2" t="s">
        <v>16</v>
      </c>
      <c r="F41" s="2" t="s">
        <v>15</v>
      </c>
      <c r="G41" s="2" t="s">
        <v>16</v>
      </c>
      <c r="H41" s="2" t="s">
        <v>16</v>
      </c>
      <c r="I41" s="2" t="s">
        <v>16</v>
      </c>
      <c r="J41" s="2" t="s">
        <v>14</v>
      </c>
      <c r="K41" s="2" t="s">
        <v>16</v>
      </c>
      <c r="L41" s="2" t="s">
        <v>16</v>
      </c>
      <c r="M41" s="5" cm="1">
        <f t="array" ref="M41">SUMPRODUCT((C41:L41="Yes")*2 + (C41:L41="Partial")*1 + (C41:L41="No")*0)</f>
        <v>17</v>
      </c>
      <c r="N41" s="5" t="str">
        <f t="shared" si="0"/>
        <v>Low Risk</v>
      </c>
      <c r="O41" s="5"/>
    </row>
    <row r="42" spans="1:15">
      <c r="A42" s="3">
        <v>41</v>
      </c>
      <c r="B42" s="3" t="s">
        <v>23</v>
      </c>
      <c r="C42" s="2" t="s">
        <v>16</v>
      </c>
      <c r="D42" s="2" t="s">
        <v>16</v>
      </c>
      <c r="E42" s="2" t="s">
        <v>15</v>
      </c>
      <c r="F42" s="2" t="s">
        <v>16</v>
      </c>
      <c r="G42" s="2" t="s">
        <v>16</v>
      </c>
      <c r="H42" s="2" t="s">
        <v>14</v>
      </c>
      <c r="I42" s="2" t="s">
        <v>16</v>
      </c>
      <c r="J42" s="2" t="s">
        <v>16</v>
      </c>
      <c r="K42" s="2" t="s">
        <v>16</v>
      </c>
      <c r="L42" s="2" t="s">
        <v>16</v>
      </c>
      <c r="M42" s="5" cm="1">
        <f t="array" ref="M42">SUMPRODUCT((C42:L42="Yes")*2 + (C42:L42="Partial")*1 + (C42:L42="No")*0)</f>
        <v>17</v>
      </c>
      <c r="N42" s="5" t="str">
        <f t="shared" si="0"/>
        <v>Low Risk</v>
      </c>
      <c r="O42" s="5"/>
    </row>
    <row r="43" spans="1:15">
      <c r="A43" s="3">
        <v>42</v>
      </c>
      <c r="B43" s="3" t="s">
        <v>22</v>
      </c>
      <c r="C43" s="2" t="s">
        <v>16</v>
      </c>
      <c r="D43" s="2" t="s">
        <v>16</v>
      </c>
      <c r="E43" s="2" t="s">
        <v>16</v>
      </c>
      <c r="F43" s="2" t="s">
        <v>16</v>
      </c>
      <c r="G43" s="2" t="s">
        <v>16</v>
      </c>
      <c r="H43" s="2" t="s">
        <v>16</v>
      </c>
      <c r="I43" s="2" t="s">
        <v>14</v>
      </c>
      <c r="J43" s="2" t="s">
        <v>16</v>
      </c>
      <c r="K43" s="2" t="s">
        <v>16</v>
      </c>
      <c r="L43" s="2" t="s">
        <v>15</v>
      </c>
      <c r="M43" s="5" cm="1">
        <f t="array" ref="M43">SUMPRODUCT((C43:L43="Yes")*2 + (C43:L43="Partial")*1 + (C43:L43="No")*0)</f>
        <v>17</v>
      </c>
      <c r="N43" s="5" t="str">
        <f t="shared" si="0"/>
        <v>Low Risk</v>
      </c>
      <c r="O43" s="5"/>
    </row>
    <row r="44" spans="1:15">
      <c r="A44" s="3">
        <v>43</v>
      </c>
      <c r="B44" s="3" t="s">
        <v>21</v>
      </c>
      <c r="C44" s="2" t="s">
        <v>16</v>
      </c>
      <c r="D44" s="2" t="s">
        <v>16</v>
      </c>
      <c r="E44" s="2" t="s">
        <v>16</v>
      </c>
      <c r="F44" s="2" t="s">
        <v>14</v>
      </c>
      <c r="G44" s="2" t="s">
        <v>16</v>
      </c>
      <c r="H44" s="2" t="s">
        <v>16</v>
      </c>
      <c r="I44" s="2" t="s">
        <v>16</v>
      </c>
      <c r="J44" s="2" t="s">
        <v>15</v>
      </c>
      <c r="K44" s="2" t="s">
        <v>16</v>
      </c>
      <c r="L44" s="2" t="s">
        <v>16</v>
      </c>
      <c r="M44" s="5" cm="1">
        <f t="array" ref="M44">SUMPRODUCT((C44:L44="Yes")*2 + (C44:L44="Partial")*1 + (C44:L44="No")*0)</f>
        <v>17</v>
      </c>
      <c r="N44" s="5" t="str">
        <f t="shared" si="0"/>
        <v>Low Risk</v>
      </c>
      <c r="O44" s="5"/>
    </row>
    <row r="45" spans="1:15">
      <c r="A45" s="3">
        <v>44</v>
      </c>
      <c r="B45" s="3" t="s">
        <v>20</v>
      </c>
      <c r="C45" s="2" t="s">
        <v>15</v>
      </c>
      <c r="D45" s="2" t="s">
        <v>14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5" cm="1">
        <f t="array" ref="M45">SUMPRODUCT((C45:L45="Yes")*2 + (C45:L45="Partial")*1 + (C45:L45="No")*0)</f>
        <v>17</v>
      </c>
      <c r="N45" s="5" t="str">
        <f t="shared" si="0"/>
        <v>Low Risk</v>
      </c>
      <c r="O45" s="5"/>
    </row>
    <row r="46" spans="1:15">
      <c r="A46" s="3">
        <v>45</v>
      </c>
      <c r="B46" s="3" t="s">
        <v>76</v>
      </c>
      <c r="C46" s="2" t="s">
        <v>16</v>
      </c>
      <c r="D46" s="2" t="s">
        <v>16</v>
      </c>
      <c r="E46" s="2" t="s">
        <v>16</v>
      </c>
      <c r="F46" s="2" t="s">
        <v>16</v>
      </c>
      <c r="G46" s="2" t="s">
        <v>14</v>
      </c>
      <c r="H46" s="2" t="s">
        <v>16</v>
      </c>
      <c r="I46" s="2" t="s">
        <v>15</v>
      </c>
      <c r="J46" s="2" t="s">
        <v>16</v>
      </c>
      <c r="K46" s="2" t="s">
        <v>16</v>
      </c>
      <c r="L46" s="2" t="s">
        <v>16</v>
      </c>
      <c r="M46" s="5" cm="1">
        <f t="array" ref="M46">SUMPRODUCT((C46:L46="Yes")*2 + (C46:L46="Partial")*1 + (C46:L46="No")*0)</f>
        <v>17</v>
      </c>
      <c r="N46" s="5" t="str">
        <f t="shared" si="0"/>
        <v>Low Risk</v>
      </c>
      <c r="O46" s="5"/>
    </row>
    <row r="47" spans="1:15">
      <c r="A47" s="3">
        <v>46</v>
      </c>
      <c r="B47" s="3" t="s">
        <v>74</v>
      </c>
      <c r="C47" s="2" t="s">
        <v>16</v>
      </c>
      <c r="D47" s="2" t="s">
        <v>16</v>
      </c>
      <c r="E47" s="2" t="s">
        <v>16</v>
      </c>
      <c r="F47" s="2" t="s">
        <v>16</v>
      </c>
      <c r="G47" s="2" t="s">
        <v>16</v>
      </c>
      <c r="H47" s="2" t="s">
        <v>15</v>
      </c>
      <c r="I47" s="2" t="s">
        <v>16</v>
      </c>
      <c r="J47" s="2" t="s">
        <v>16</v>
      </c>
      <c r="K47" s="2" t="s">
        <v>14</v>
      </c>
      <c r="L47" s="2" t="s">
        <v>16</v>
      </c>
      <c r="M47" s="5" cm="1">
        <f t="array" ref="M47">SUMPRODUCT((C47:L47="Yes")*2 + (C47:L47="Partial")*1 + (C47:L47="No")*0)</f>
        <v>17</v>
      </c>
      <c r="N47" s="5" t="str">
        <f t="shared" si="0"/>
        <v>Low Risk</v>
      </c>
      <c r="O47" s="5"/>
    </row>
    <row r="48" spans="1:15">
      <c r="A48" s="3">
        <v>47</v>
      </c>
      <c r="B48" s="3" t="s">
        <v>73</v>
      </c>
      <c r="C48" s="2" t="s">
        <v>16</v>
      </c>
      <c r="D48" s="2" t="s">
        <v>16</v>
      </c>
      <c r="E48" s="2" t="s">
        <v>16</v>
      </c>
      <c r="F48" s="2" t="s">
        <v>15</v>
      </c>
      <c r="G48" s="2" t="s">
        <v>16</v>
      </c>
      <c r="H48" s="2" t="s">
        <v>16</v>
      </c>
      <c r="I48" s="2" t="s">
        <v>16</v>
      </c>
      <c r="J48" s="2" t="s">
        <v>14</v>
      </c>
      <c r="K48" s="2" t="s">
        <v>16</v>
      </c>
      <c r="L48" s="2" t="s">
        <v>16</v>
      </c>
      <c r="M48" s="5" cm="1">
        <f t="array" ref="M48">SUMPRODUCT((C48:L48="Yes")*2 + (C48:L48="Partial")*1 + (C48:L48="No")*0)</f>
        <v>17</v>
      </c>
      <c r="N48" s="5" t="str">
        <f t="shared" si="0"/>
        <v>Low Risk</v>
      </c>
      <c r="O48" s="5"/>
    </row>
    <row r="49" spans="1:15">
      <c r="A49" s="3">
        <v>48</v>
      </c>
      <c r="B49" s="3" t="s">
        <v>72</v>
      </c>
      <c r="C49" s="2" t="s">
        <v>16</v>
      </c>
      <c r="D49" s="2" t="s">
        <v>14</v>
      </c>
      <c r="E49" s="2" t="s">
        <v>16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5" cm="1">
        <f t="array" ref="M49">SUMPRODUCT((C49:L49="Yes")*2 + (C49:L49="Partial")*1 + (C49:L49="No")*0)</f>
        <v>18</v>
      </c>
      <c r="N49" s="5" t="str">
        <f t="shared" si="0"/>
        <v>Low Risk</v>
      </c>
      <c r="O49" s="5"/>
    </row>
    <row r="50" spans="1:15">
      <c r="A50" s="3">
        <v>49</v>
      </c>
      <c r="B50" s="3" t="s">
        <v>71</v>
      </c>
      <c r="C50" s="2" t="s">
        <v>16</v>
      </c>
      <c r="D50" s="2" t="s">
        <v>16</v>
      </c>
      <c r="E50" s="2" t="s">
        <v>16</v>
      </c>
      <c r="F50" s="2" t="s">
        <v>14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5" cm="1">
        <f t="array" ref="M50">SUMPRODUCT((C50:L50="Yes")*2 + (C50:L50="Partial")*1 + (C50:L50="No")*0)</f>
        <v>18</v>
      </c>
      <c r="N50" s="5" t="str">
        <f t="shared" si="0"/>
        <v>Low Risk</v>
      </c>
      <c r="O50" s="5"/>
    </row>
    <row r="51" spans="1:15">
      <c r="A51" s="3">
        <v>50</v>
      </c>
      <c r="B51" s="3" t="s">
        <v>70</v>
      </c>
      <c r="C51" s="2" t="s">
        <v>16</v>
      </c>
      <c r="D51" s="2" t="s">
        <v>16</v>
      </c>
      <c r="E51" s="2" t="s">
        <v>16</v>
      </c>
      <c r="F51" s="2" t="s">
        <v>16</v>
      </c>
      <c r="G51" s="2" t="s">
        <v>16</v>
      </c>
      <c r="H51" s="2" t="s">
        <v>16</v>
      </c>
      <c r="I51" s="2" t="s">
        <v>14</v>
      </c>
      <c r="J51" s="2" t="s">
        <v>16</v>
      </c>
      <c r="K51" s="2" t="s">
        <v>16</v>
      </c>
      <c r="L51" s="2" t="s">
        <v>16</v>
      </c>
      <c r="M51" s="5" cm="1">
        <f t="array" ref="M51">SUMPRODUCT((C51:L51="Yes")*2 + (C51:L51="Partial")*1 + (C51:L51="No")*0)</f>
        <v>18</v>
      </c>
      <c r="N51" s="5" t="str">
        <f t="shared" si="0"/>
        <v>Low Risk</v>
      </c>
      <c r="O51" s="5"/>
    </row>
    <row r="52" spans="1:15">
      <c r="A52" s="3">
        <v>51</v>
      </c>
      <c r="B52" s="3" t="s">
        <v>69</v>
      </c>
      <c r="C52" s="2" t="s">
        <v>16</v>
      </c>
      <c r="D52" s="2" t="s">
        <v>16</v>
      </c>
      <c r="E52" s="2" t="s">
        <v>16</v>
      </c>
      <c r="F52" s="2" t="s">
        <v>16</v>
      </c>
      <c r="G52" s="2" t="s">
        <v>16</v>
      </c>
      <c r="H52" s="2" t="s">
        <v>14</v>
      </c>
      <c r="I52" s="2" t="s">
        <v>16</v>
      </c>
      <c r="J52" s="2" t="s">
        <v>16</v>
      </c>
      <c r="K52" s="2" t="s">
        <v>16</v>
      </c>
      <c r="L52" s="2" t="s">
        <v>16</v>
      </c>
      <c r="M52" s="5" cm="1">
        <f t="array" ref="M52">SUMPRODUCT((C52:L52="Yes")*2 + (C52:L52="Partial")*1 + (C52:L52="No")*0)</f>
        <v>18</v>
      </c>
      <c r="N52" s="5" t="str">
        <f t="shared" si="0"/>
        <v>Low Risk</v>
      </c>
      <c r="O52" s="5"/>
    </row>
    <row r="53" spans="1:15">
      <c r="A53" s="3">
        <v>52</v>
      </c>
      <c r="B53" s="3" t="s">
        <v>68</v>
      </c>
      <c r="C53" s="2" t="s">
        <v>16</v>
      </c>
      <c r="D53" s="2" t="s">
        <v>16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14</v>
      </c>
      <c r="K53" s="2" t="s">
        <v>16</v>
      </c>
      <c r="L53" s="2" t="s">
        <v>16</v>
      </c>
      <c r="M53" s="5" cm="1">
        <f t="array" ref="M53">SUMPRODUCT((C53:L53="Yes")*2 + (C53:L53="Partial")*1 + (C53:L53="No")*0)</f>
        <v>18</v>
      </c>
      <c r="N53" s="5" t="str">
        <f t="shared" si="0"/>
        <v>Low Risk</v>
      </c>
      <c r="O53" s="5"/>
    </row>
    <row r="54" spans="1:15">
      <c r="A54" s="3">
        <v>53</v>
      </c>
      <c r="B54" s="3" t="s">
        <v>67</v>
      </c>
      <c r="C54" s="2" t="s">
        <v>16</v>
      </c>
      <c r="D54" s="2" t="s">
        <v>16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14</v>
      </c>
      <c r="L54" s="2" t="s">
        <v>16</v>
      </c>
      <c r="M54" s="5" cm="1">
        <f t="array" ref="M54">SUMPRODUCT((C54:L54="Yes")*2 + (C54:L54="Partial")*1 + (C54:L54="No")*0)</f>
        <v>18</v>
      </c>
      <c r="N54" s="5" t="str">
        <f t="shared" si="0"/>
        <v>Low Risk</v>
      </c>
      <c r="O54" s="5"/>
    </row>
    <row r="55" spans="1:15">
      <c r="A55" s="3">
        <v>54</v>
      </c>
      <c r="B55" s="3" t="s">
        <v>66</v>
      </c>
      <c r="C55" s="2" t="s">
        <v>16</v>
      </c>
      <c r="D55" s="2" t="s">
        <v>16</v>
      </c>
      <c r="E55" s="2" t="s">
        <v>14</v>
      </c>
      <c r="F55" s="2" t="s">
        <v>16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5" cm="1">
        <f t="array" ref="M55">SUMPRODUCT((C55:L55="Yes")*2 + (C55:L55="Partial")*1 + (C55:L55="No")*0)</f>
        <v>18</v>
      </c>
      <c r="N55" s="5" t="str">
        <f t="shared" si="0"/>
        <v>Low Risk</v>
      </c>
      <c r="O55" s="5"/>
    </row>
    <row r="56" spans="1:15">
      <c r="A56" s="3">
        <v>55</v>
      </c>
      <c r="B56" s="3" t="s">
        <v>65</v>
      </c>
      <c r="C56" s="2" t="s">
        <v>16</v>
      </c>
      <c r="D56" s="2" t="s">
        <v>16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15</v>
      </c>
      <c r="M56" s="5" cm="1">
        <f t="array" ref="M56">SUMPRODUCT((C56:L56="Yes")*2 + (C56:L56="Partial")*1 + (C56:L56="No")*0)</f>
        <v>19</v>
      </c>
      <c r="N56" s="5" t="str">
        <f t="shared" si="0"/>
        <v>Low Risk</v>
      </c>
      <c r="O56" s="5"/>
    </row>
    <row r="57" spans="1:15">
      <c r="A57" s="3">
        <v>56</v>
      </c>
      <c r="B57" s="3" t="s">
        <v>64</v>
      </c>
      <c r="C57" s="2" t="s">
        <v>16</v>
      </c>
      <c r="D57" s="2" t="s">
        <v>16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15</v>
      </c>
      <c r="J57" s="2" t="s">
        <v>16</v>
      </c>
      <c r="K57" s="2" t="s">
        <v>16</v>
      </c>
      <c r="L57" s="2" t="s">
        <v>16</v>
      </c>
      <c r="M57" s="5" cm="1">
        <f t="array" ref="M57">SUMPRODUCT((C57:L57="Yes")*2 + (C57:L57="Partial")*1 + (C57:L57="No")*0)</f>
        <v>19</v>
      </c>
      <c r="N57" s="5" t="str">
        <f t="shared" si="0"/>
        <v>Low Risk</v>
      </c>
      <c r="O57" s="5"/>
    </row>
    <row r="58" spans="1:15">
      <c r="A58" s="3">
        <v>57</v>
      </c>
      <c r="B58" s="3" t="s">
        <v>18</v>
      </c>
      <c r="C58" s="2" t="s">
        <v>16</v>
      </c>
      <c r="D58" s="2" t="s">
        <v>16</v>
      </c>
      <c r="E58" s="2" t="s">
        <v>16</v>
      </c>
      <c r="F58" s="2" t="s">
        <v>15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16</v>
      </c>
      <c r="M58" s="5" cm="1">
        <f t="array" ref="M58">SUMPRODUCT((C58:L58="Yes")*2 + (C58:L58="Partial")*1 + (C58:L58="No")*0)</f>
        <v>19</v>
      </c>
      <c r="N58" s="5" t="str">
        <f t="shared" si="0"/>
        <v>Low Risk</v>
      </c>
      <c r="O58" s="5"/>
    </row>
    <row r="59" spans="1:15">
      <c r="A59" s="3">
        <v>58</v>
      </c>
      <c r="B59" s="3" t="s">
        <v>83</v>
      </c>
      <c r="C59" s="2" t="s">
        <v>16</v>
      </c>
      <c r="D59" s="2" t="s">
        <v>16</v>
      </c>
      <c r="E59" s="2" t="s">
        <v>16</v>
      </c>
      <c r="F59" s="2" t="s">
        <v>16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16</v>
      </c>
      <c r="M59" s="5" cm="1">
        <f t="array" ref="M59">SUMPRODUCT((C59:L59="Yes")*2 + (C59:L59="Partial")*1 + (C59:L59="No")*0)</f>
        <v>20</v>
      </c>
      <c r="N59" s="5" t="str">
        <f t="shared" si="0"/>
        <v>Low Risk</v>
      </c>
      <c r="O59" s="5"/>
    </row>
    <row r="60" spans="1:15">
      <c r="A60" s="3">
        <v>59</v>
      </c>
      <c r="B60" s="3" t="s">
        <v>17</v>
      </c>
      <c r="C60" s="2" t="s">
        <v>16</v>
      </c>
      <c r="D60" s="2" t="s">
        <v>16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5" cm="1">
        <f t="array" ref="M60">SUMPRODUCT((C60:L60="Yes")*2 + (C60:L60="Partial")*1 + (C60:L60="No")*0)</f>
        <v>20</v>
      </c>
      <c r="N60" s="5" t="str">
        <f t="shared" si="0"/>
        <v>Low Risk</v>
      </c>
      <c r="O60" s="5"/>
    </row>
    <row r="61" spans="1:15">
      <c r="A61" s="3">
        <v>60</v>
      </c>
      <c r="B61" s="3" t="s">
        <v>19</v>
      </c>
      <c r="C61" s="2" t="s">
        <v>16</v>
      </c>
      <c r="D61" s="2" t="s">
        <v>16</v>
      </c>
      <c r="E61" s="2" t="s">
        <v>16</v>
      </c>
      <c r="F61" s="2" t="s">
        <v>16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5" cm="1">
        <f t="array" ref="M61">SUMPRODUCT((C61:L61="Yes")*2 + (C61:L61="Partial")*1 + (C61:L61="No")*0)</f>
        <v>20</v>
      </c>
      <c r="N61" s="5" t="str">
        <f t="shared" si="0"/>
        <v>Low Risk</v>
      </c>
      <c r="O61" s="5"/>
    </row>
    <row r="62" spans="1:15">
      <c r="A62" s="3">
        <v>61</v>
      </c>
      <c r="B62" s="3" t="s">
        <v>82</v>
      </c>
      <c r="C62" s="2" t="s">
        <v>16</v>
      </c>
      <c r="D62" s="2" t="s">
        <v>16</v>
      </c>
      <c r="E62" s="2" t="s">
        <v>16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5" cm="1">
        <f t="array" ref="M62">SUMPRODUCT((C62:L62="Yes")*2 + (C62:L62="Partial")*1 + (C62:L62="No")*0)</f>
        <v>20</v>
      </c>
      <c r="N62" s="5" t="str">
        <f t="shared" si="0"/>
        <v>Low Risk</v>
      </c>
      <c r="O62" s="5"/>
    </row>
    <row r="63" spans="1:15">
      <c r="A63" s="3">
        <v>62</v>
      </c>
      <c r="B63" s="3" t="s">
        <v>81</v>
      </c>
      <c r="C63" s="2" t="s">
        <v>16</v>
      </c>
      <c r="D63" s="2" t="s">
        <v>16</v>
      </c>
      <c r="E63" s="2" t="s">
        <v>16</v>
      </c>
      <c r="F63" s="2" t="s">
        <v>16</v>
      </c>
      <c r="G63" s="2" t="s">
        <v>16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16</v>
      </c>
      <c r="M63" s="5" cm="1">
        <f t="array" ref="M63">SUMPRODUCT((C63:L63="Yes")*2 + (C63:L63="Partial")*1 + (C63:L63="No")*0)</f>
        <v>20</v>
      </c>
      <c r="N63" s="5" t="str">
        <f t="shared" si="0"/>
        <v>Low Risk</v>
      </c>
      <c r="O63" s="5"/>
    </row>
    <row r="64" spans="1:15">
      <c r="A64" s="3">
        <v>63</v>
      </c>
      <c r="B64" s="3" t="s">
        <v>80</v>
      </c>
      <c r="C64" s="2" t="s">
        <v>16</v>
      </c>
      <c r="D64" s="2" t="s">
        <v>16</v>
      </c>
      <c r="E64" s="2" t="s">
        <v>16</v>
      </c>
      <c r="F64" s="2" t="s">
        <v>16</v>
      </c>
      <c r="G64" s="2" t="s">
        <v>16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16</v>
      </c>
      <c r="M64" s="5" cm="1">
        <f t="array" ref="M64">SUMPRODUCT((C64:L64="Yes")*2 + (C64:L64="Partial")*1 + (C64:L64="No")*0)</f>
        <v>20</v>
      </c>
      <c r="N64" s="5" t="str">
        <f t="shared" si="0"/>
        <v>Low Risk</v>
      </c>
      <c r="O64" s="5"/>
    </row>
    <row r="65" spans="1:15">
      <c r="A65" s="3">
        <v>64</v>
      </c>
      <c r="B65" s="3" t="s">
        <v>79</v>
      </c>
      <c r="C65" s="2" t="s">
        <v>16</v>
      </c>
      <c r="D65" s="2" t="s">
        <v>16</v>
      </c>
      <c r="E65" s="2" t="s">
        <v>16</v>
      </c>
      <c r="F65" s="2" t="s">
        <v>16</v>
      </c>
      <c r="G65" s="2" t="s">
        <v>16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16</v>
      </c>
      <c r="M65" s="5" cm="1">
        <f t="array" ref="M65">SUMPRODUCT((C65:L65="Yes")*2 + (C65:L65="Partial")*1 + (C65:L65="No")*0)</f>
        <v>20</v>
      </c>
      <c r="N65" s="5" t="str">
        <f t="shared" si="0"/>
        <v>Low Risk</v>
      </c>
      <c r="O65" s="5"/>
    </row>
    <row r="66" spans="1:15">
      <c r="A66" s="3">
        <v>65</v>
      </c>
      <c r="B66" s="3" t="s">
        <v>78</v>
      </c>
      <c r="C66" s="2" t="s">
        <v>16</v>
      </c>
      <c r="D66" s="2" t="s">
        <v>16</v>
      </c>
      <c r="E66" s="2" t="s">
        <v>16</v>
      </c>
      <c r="F66" s="2" t="s">
        <v>16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16</v>
      </c>
      <c r="M66" s="5" cm="1">
        <f t="array" ref="M66">SUMPRODUCT((C66:L66="Yes")*2 + (C66:L66="Partial")*1 + (C66:L66="No")*0)</f>
        <v>20</v>
      </c>
      <c r="N66" s="5" t="str">
        <f t="shared" si="0"/>
        <v>Low Risk</v>
      </c>
      <c r="O66" s="5"/>
    </row>
    <row r="67" spans="1:15">
      <c r="A67" s="3">
        <v>66</v>
      </c>
      <c r="B67" s="3" t="s">
        <v>77</v>
      </c>
      <c r="C67" s="2" t="s">
        <v>16</v>
      </c>
      <c r="D67" s="2" t="s">
        <v>16</v>
      </c>
      <c r="E67" s="2" t="s">
        <v>16</v>
      </c>
      <c r="F67" s="2" t="s">
        <v>16</v>
      </c>
      <c r="G67" s="2" t="s">
        <v>16</v>
      </c>
      <c r="H67" s="2" t="s">
        <v>16</v>
      </c>
      <c r="I67" s="2" t="s">
        <v>16</v>
      </c>
      <c r="J67" s="2" t="s">
        <v>16</v>
      </c>
      <c r="K67" s="2" t="s">
        <v>16</v>
      </c>
      <c r="L67" s="2" t="s">
        <v>16</v>
      </c>
      <c r="M67" s="5" cm="1">
        <f t="array" ref="M67">SUMPRODUCT((C67:L67="Yes")*2 + (C67:L67="Partial")*1 + (C67:L67="No")*0)</f>
        <v>20</v>
      </c>
      <c r="N67" s="5" t="str">
        <f t="shared" ref="N67:N68" si="1">IF(M67&gt;=17,"Low Risk",IF(M67&gt;=11,"Medium Risk","High Risk"))</f>
        <v>Low Risk</v>
      </c>
      <c r="O67" s="5"/>
    </row>
    <row r="68" spans="1:15">
      <c r="A68" s="3">
        <v>67</v>
      </c>
      <c r="B68" s="3" t="s">
        <v>75</v>
      </c>
      <c r="C68" s="2" t="s">
        <v>16</v>
      </c>
      <c r="D68" s="2" t="s">
        <v>16</v>
      </c>
      <c r="E68" s="2" t="s">
        <v>16</v>
      </c>
      <c r="F68" s="2" t="s">
        <v>16</v>
      </c>
      <c r="G68" s="2" t="s">
        <v>16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16</v>
      </c>
      <c r="M68" s="5" cm="1">
        <f t="array" ref="M68">SUMPRODUCT((C68:L68="Yes")*2 + (C68:L68="Partial")*1 + (C68:L68="No")*0)</f>
        <v>20</v>
      </c>
      <c r="N68" s="5" t="str">
        <f t="shared" si="1"/>
        <v>Low Risk</v>
      </c>
      <c r="O68" s="5"/>
    </row>
    <row r="71" spans="1:15"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</sheetData>
  <dataValidations count="1">
    <dataValidation allowBlank="1" showInputMessage="1" showErrorMessage="1" sqref="K1:L1 C71:L1048576 C2:L68" xr:uid="{1DEB44F7-D40F-4978-B13D-8D11A4B6FC4A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Nikhil Yadav</cp:lastModifiedBy>
  <cp:revision/>
  <dcterms:created xsi:type="dcterms:W3CDTF">2026-02-10T05:23:37Z</dcterms:created>
  <dcterms:modified xsi:type="dcterms:W3CDTF">2026-03-13T11:55:58Z</dcterms:modified>
  <cp:category/>
  <cp:contentStatus/>
</cp:coreProperties>
</file>